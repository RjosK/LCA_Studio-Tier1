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844f8392df7910/Escritorio/"/>
    </mc:Choice>
  </mc:AlternateContent>
  <xr:revisionPtr revIDLastSave="1" documentId="13_ncr:1_{77D3E26A-16CC-45A2-85FD-F52744731F81}" xr6:coauthVersionLast="47" xr6:coauthVersionMax="47" xr10:uidLastSave="{C45840DE-41EA-4F7B-91D0-57D6473E2A7E}"/>
  <bookViews>
    <workbookView xWindow="-104" yWindow="-104" windowWidth="22326" windowHeight="11947" xr2:uid="{71DF37EB-681E-4048-ADD1-870A6AB0B0BE}"/>
  </bookViews>
  <sheets>
    <sheet name="LCI_cafetera_curs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4" l="1"/>
  <c r="F38" i="4"/>
  <c r="J27" i="4"/>
  <c r="M36" i="4" s="1"/>
  <c r="M39" i="4" s="1"/>
  <c r="F35" i="4" s="1"/>
  <c r="F34" i="4"/>
  <c r="F40" i="4" s="1"/>
  <c r="J30" i="4"/>
  <c r="J15" i="4"/>
  <c r="J14" i="4"/>
  <c r="J13" i="4"/>
  <c r="I15" i="4"/>
  <c r="K15" i="4" s="1"/>
  <c r="I14" i="4"/>
  <c r="K14" i="4" s="1"/>
  <c r="I13" i="4"/>
  <c r="K13" i="4" s="1"/>
  <c r="J12" i="4"/>
  <c r="J11" i="4"/>
  <c r="J10" i="4"/>
  <c r="I12" i="4"/>
  <c r="K12" i="4" s="1"/>
  <c r="I11" i="4"/>
  <c r="K11" i="4" s="1"/>
  <c r="I10" i="4"/>
  <c r="K10" i="4" s="1"/>
  <c r="I9" i="4"/>
  <c r="K9" i="4" s="1"/>
  <c r="J9" i="4"/>
  <c r="J8" i="4"/>
  <c r="I8" i="4"/>
  <c r="K8" i="4" s="1"/>
  <c r="J7" i="4"/>
  <c r="J6" i="4"/>
  <c r="I7" i="4"/>
  <c r="K7" i="4" s="1"/>
  <c r="I6" i="4"/>
  <c r="K6" i="4" s="1"/>
  <c r="J5" i="4"/>
  <c r="J4" i="4"/>
  <c r="I5" i="4"/>
  <c r="K5" i="4" s="1"/>
  <c r="I4" i="4"/>
  <c r="K4" i="4" s="1"/>
  <c r="J36" i="4" l="1"/>
  <c r="J39" i="4" s="1"/>
  <c r="J29" i="4"/>
  <c r="J31" i="4" s="1"/>
  <c r="J32" i="4" s="1"/>
  <c r="F33" i="4" s="1"/>
  <c r="K17" i="4"/>
  <c r="K18" i="4" s="1"/>
</calcChain>
</file>

<file path=xl/sharedStrings.xml><?xml version="1.0" encoding="utf-8"?>
<sst xmlns="http://schemas.openxmlformats.org/spreadsheetml/2006/main" count="169" uniqueCount="90">
  <si>
    <t>kg</t>
  </si>
  <si>
    <t>Proceso</t>
  </si>
  <si>
    <t>Valor</t>
  </si>
  <si>
    <t>Unidad</t>
  </si>
  <si>
    <t>Proveedor</t>
  </si>
  <si>
    <t>g</t>
  </si>
  <si>
    <t>polypropylene granulate (PP)</t>
  </si>
  <si>
    <t>item</t>
  </si>
  <si>
    <t>Drinking water</t>
  </si>
  <si>
    <t>transport in t*km</t>
  </si>
  <si>
    <t>t*km</t>
  </si>
  <si>
    <t>Uso</t>
  </si>
  <si>
    <t>polyethylene low density granulate (PE-LD)</t>
  </si>
  <si>
    <t>Material</t>
  </si>
  <si>
    <t>ACV Cafetera</t>
  </si>
  <si>
    <t>Cuerpo</t>
  </si>
  <si>
    <t>aluminium sheet</t>
  </si>
  <si>
    <t>injection moulding</t>
  </si>
  <si>
    <t>impact extrusion of aluminium, 1 stroke</t>
  </si>
  <si>
    <t>Jarra</t>
  </si>
  <si>
    <t>glass (formed &amp; finished)</t>
  </si>
  <si>
    <t>heat, central or small-scale, natural gas</t>
  </si>
  <si>
    <t>MJ</t>
  </si>
  <si>
    <t>Cable</t>
  </si>
  <si>
    <t>polyvinylchloride resin (E-PVC)</t>
  </si>
  <si>
    <t>Copper wire</t>
  </si>
  <si>
    <t>Partes</t>
  </si>
  <si>
    <t>Copper sheet</t>
  </si>
  <si>
    <t>Tin plate</t>
  </si>
  <si>
    <t>Graphic paper (typical European)</t>
  </si>
  <si>
    <t>corrugated board boxes</t>
  </si>
  <si>
    <t>Transporte</t>
  </si>
  <si>
    <t>unidad</t>
  </si>
  <si>
    <t>ton</t>
  </si>
  <si>
    <t>Ensamble</t>
  </si>
  <si>
    <t>Electricity</t>
  </si>
  <si>
    <t>Potencia</t>
  </si>
  <si>
    <t>J/s</t>
  </si>
  <si>
    <t>Ciclo</t>
  </si>
  <si>
    <t>Energía</t>
  </si>
  <si>
    <t>flujo_cuerpo</t>
  </si>
  <si>
    <t>flujo_jarra</t>
  </si>
  <si>
    <t>flujo_cable</t>
  </si>
  <si>
    <t>flujo_partes</t>
  </si>
  <si>
    <t>Empaque</t>
  </si>
  <si>
    <t>flujo_empaque</t>
  </si>
  <si>
    <t>flujo_transporte</t>
  </si>
  <si>
    <t>suma de masa de ensamble</t>
  </si>
  <si>
    <t>normalizar unidad</t>
  </si>
  <si>
    <t>SUMA</t>
  </si>
  <si>
    <t>K18*400</t>
  </si>
  <si>
    <t>flujo_ensamble</t>
  </si>
  <si>
    <t>h/ciclo</t>
  </si>
  <si>
    <t>total h</t>
  </si>
  <si>
    <t>Potencia real</t>
  </si>
  <si>
    <t>W</t>
  </si>
  <si>
    <t>1 W = 1 J/s</t>
  </si>
  <si>
    <t>Wh</t>
  </si>
  <si>
    <t>h</t>
  </si>
  <si>
    <t>1 Wh = 0.0036 MJ</t>
  </si>
  <si>
    <t>ENERGIA</t>
  </si>
  <si>
    <t>FILTRO PAPEL</t>
  </si>
  <si>
    <t>Peso</t>
  </si>
  <si>
    <t>Total peso</t>
  </si>
  <si>
    <t>AGUA</t>
  </si>
  <si>
    <t>flujo_uso</t>
  </si>
  <si>
    <t>Disposicion</t>
  </si>
  <si>
    <t>disposicion_flow</t>
  </si>
  <si>
    <t>landfill of plastic waste</t>
  </si>
  <si>
    <t>Polypropylene granulate (PP), production mix, at plant - RER</t>
  </si>
  <si>
    <t>injection moulding - RoW</t>
  </si>
  <si>
    <t>Aluminium sheet, production mix, at plant, primary production, aluminium semi-finished sheet product, including primary production, transformation and recycling - RER</t>
  </si>
  <si>
    <t>impact extrusion of aluminium, 1 stroke - RoW</t>
  </si>
  <si>
    <t>Container glass (delivered to the end user of the contained product, reuse rate: 7%), production mix at plant, technology mix - RER</t>
  </si>
  <si>
    <t>heat production, natural gas, at boiler atm. low-NOx condensing non-modulating &lt;100kW - RoW</t>
  </si>
  <si>
    <t>Polyvinylchloride resin (E-PVC), production mix, at plant, emulsion polymerisation - RER</t>
  </si>
  <si>
    <t>Copper wire, consumption mix, at plant, technology mix, cross section 1 mmy - EU-15</t>
  </si>
  <si>
    <t>Steel tinplate without EoL recycling  (collection year 2012/2013), European, production mix, at plant, blast furnace route, 1kg, typical thickness between 0.13 - 0.49 mm. typical width between 600 - 1100 mm. - RER</t>
  </si>
  <si>
    <t>Copper sheet, consumption mix, at plant, technology mix, 0,6 mm thickness - EU-15</t>
  </si>
  <si>
    <t>Polyethylene low density granulate (PE-LD), production mix, at plant - RER</t>
  </si>
  <si>
    <t>Corrugated board boxes, production mix, at plant, technology mix, 16,6 % primary fibre, 83,4 % recycled fibre - EU-25</t>
  </si>
  <si>
    <t>Graphic Paper,  production mix, at plant,  technology mix,  79% primary fibre, 21% recycled fibre - EU-25</t>
  </si>
  <si>
    <t>Lorry transport, Euro 0, 1, 2, 3, 4 mix, 22 t total weight, 17,3t max payload - RER</t>
  </si>
  <si>
    <t>Electricity grid mix, consumption mix, at consumer, AC, &lt; 1kV - EU-27</t>
  </si>
  <si>
    <t>Drinking water, production mix, at plant, water purification treatment, from groundwater - RER</t>
  </si>
  <si>
    <t>treatment of waste glass, sanitary landfill - GLO</t>
  </si>
  <si>
    <t>waste glass</t>
  </si>
  <si>
    <t>Landfill of plastic waste, at landfill site, landfill including landfill gas utilisation and leachate treatment and without collection, transport and   pre-treatment - EU-27</t>
  </si>
  <si>
    <t>treatment of waste paperboard, sanitary landfill - RoW</t>
  </si>
  <si>
    <t>waste paperboard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</si>
</sst>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Bahnschrift Light"/>
      <family val="2"/>
    </font>
    <font>
      <b/>
      <sz val="11"/>
      <color theme="1"/>
      <name val="Bahnschrift Light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0" fontId="0" fillId="3" borderId="0" xfId="0" applyFill="1"/>
    <xf numFmtId="0" fontId="0" fillId="4" borderId="1" xfId="0" applyFill="1" applyBorder="1"/>
    <xf numFmtId="0" fontId="3" fillId="3" borderId="0" xfId="0" applyFont="1" applyFill="1"/>
    <xf numFmtId="0" fontId="0" fillId="5" borderId="0" xfId="0" applyFill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B265-2F62-4B37-B07A-DC39569E5E0E}">
  <dimension ref="B2:N41"/>
  <sheetViews>
    <sheetView tabSelected="1" topLeftCell="B16" workbookViewId="0">
      <selection activeCell="F43" sqref="F43"/>
    </sheetView>
  </sheetViews>
  <sheetFormatPr defaultColWidth="11.59765625" defaultRowHeight="14.4" x14ac:dyDescent="0.3"/>
  <cols>
    <col min="3" max="3" width="12.69921875" customWidth="1"/>
    <col min="4" max="4" width="35.3984375" customWidth="1"/>
    <col min="5" max="5" width="44.296875" customWidth="1"/>
    <col min="6" max="6" width="14.19921875" customWidth="1"/>
  </cols>
  <sheetData>
    <row r="2" spans="2:12" x14ac:dyDescent="0.3">
      <c r="B2" s="1"/>
      <c r="C2" s="2" t="s">
        <v>1</v>
      </c>
      <c r="D2" s="2" t="s">
        <v>13</v>
      </c>
      <c r="E2" s="2" t="s">
        <v>4</v>
      </c>
      <c r="F2" s="2" t="s">
        <v>2</v>
      </c>
      <c r="G2" s="2" t="s">
        <v>3</v>
      </c>
    </row>
    <row r="3" spans="2:12" x14ac:dyDescent="0.3">
      <c r="B3" s="9" t="s">
        <v>14</v>
      </c>
      <c r="C3" s="10" t="s">
        <v>15</v>
      </c>
      <c r="D3" s="3" t="s">
        <v>6</v>
      </c>
      <c r="E3" s="3" t="s">
        <v>69</v>
      </c>
      <c r="F3" s="3">
        <v>0.94</v>
      </c>
      <c r="G3" s="3" t="s">
        <v>0</v>
      </c>
      <c r="I3" t="s">
        <v>47</v>
      </c>
      <c r="J3" t="s">
        <v>32</v>
      </c>
      <c r="K3" t="s">
        <v>48</v>
      </c>
    </row>
    <row r="4" spans="2:12" x14ac:dyDescent="0.3">
      <c r="B4" s="9"/>
      <c r="C4" s="10"/>
      <c r="D4" s="3" t="s">
        <v>17</v>
      </c>
      <c r="E4" s="3" t="s">
        <v>70</v>
      </c>
      <c r="F4" s="3">
        <v>0.94</v>
      </c>
      <c r="G4" s="3" t="s">
        <v>0</v>
      </c>
      <c r="I4">
        <f>F3</f>
        <v>0.94</v>
      </c>
      <c r="J4" t="str">
        <f>G3</f>
        <v>kg</v>
      </c>
      <c r="K4">
        <f>I4</f>
        <v>0.94</v>
      </c>
      <c r="L4" t="s">
        <v>0</v>
      </c>
    </row>
    <row r="5" spans="2:12" x14ac:dyDescent="0.3">
      <c r="B5" s="9"/>
      <c r="C5" s="10"/>
      <c r="D5" s="3" t="s">
        <v>16</v>
      </c>
      <c r="E5" s="3" t="s">
        <v>71</v>
      </c>
      <c r="F5" s="3">
        <v>0.1</v>
      </c>
      <c r="G5" s="3" t="s">
        <v>0</v>
      </c>
      <c r="I5">
        <f>F5</f>
        <v>0.1</v>
      </c>
      <c r="J5" t="str">
        <f>G5</f>
        <v>kg</v>
      </c>
      <c r="K5">
        <f>I5</f>
        <v>0.1</v>
      </c>
      <c r="L5" t="s">
        <v>0</v>
      </c>
    </row>
    <row r="6" spans="2:12" x14ac:dyDescent="0.3">
      <c r="B6" s="9"/>
      <c r="C6" s="10"/>
      <c r="D6" s="3" t="s">
        <v>18</v>
      </c>
      <c r="E6" s="3" t="s">
        <v>72</v>
      </c>
      <c r="F6" s="3">
        <v>0.1</v>
      </c>
      <c r="G6" s="3" t="s">
        <v>0</v>
      </c>
      <c r="I6">
        <f>F8</f>
        <v>0.4</v>
      </c>
      <c r="J6" t="str">
        <f>G8</f>
        <v>kg</v>
      </c>
      <c r="K6">
        <f>I6</f>
        <v>0.4</v>
      </c>
      <c r="L6" t="s">
        <v>0</v>
      </c>
    </row>
    <row r="7" spans="2:12" x14ac:dyDescent="0.3">
      <c r="B7" s="9"/>
      <c r="C7" s="10"/>
      <c r="D7" s="5" t="s">
        <v>40</v>
      </c>
      <c r="E7" s="5"/>
      <c r="F7" s="5">
        <v>1</v>
      </c>
      <c r="G7" s="5" t="s">
        <v>7</v>
      </c>
      <c r="I7">
        <f>F9</f>
        <v>0.2</v>
      </c>
      <c r="J7" t="str">
        <f>G9</f>
        <v>kg</v>
      </c>
      <c r="K7">
        <f>I7</f>
        <v>0.2</v>
      </c>
      <c r="L7" t="s">
        <v>0</v>
      </c>
    </row>
    <row r="8" spans="2:12" x14ac:dyDescent="0.3">
      <c r="B8" s="9"/>
      <c r="C8" s="9" t="s">
        <v>19</v>
      </c>
      <c r="D8" s="3" t="s">
        <v>20</v>
      </c>
      <c r="E8" s="3" t="s">
        <v>73</v>
      </c>
      <c r="F8" s="3">
        <v>0.4</v>
      </c>
      <c r="G8" s="3" t="s">
        <v>0</v>
      </c>
      <c r="I8">
        <f>F12</f>
        <v>105</v>
      </c>
      <c r="J8" t="str">
        <f>G12</f>
        <v>g</v>
      </c>
      <c r="K8">
        <f t="shared" ref="K8:K15" si="0">I8/1000</f>
        <v>0.105</v>
      </c>
      <c r="L8" t="s">
        <v>0</v>
      </c>
    </row>
    <row r="9" spans="2:12" x14ac:dyDescent="0.3">
      <c r="B9" s="9"/>
      <c r="C9" s="9"/>
      <c r="D9" s="3" t="s">
        <v>6</v>
      </c>
      <c r="E9" s="3" t="s">
        <v>69</v>
      </c>
      <c r="F9" s="3">
        <v>0.2</v>
      </c>
      <c r="G9" s="3" t="s">
        <v>0</v>
      </c>
      <c r="I9">
        <f>F13</f>
        <v>60</v>
      </c>
      <c r="J9" t="str">
        <f>G13</f>
        <v>g</v>
      </c>
      <c r="K9">
        <f t="shared" si="0"/>
        <v>0.06</v>
      </c>
      <c r="L9" t="s">
        <v>0</v>
      </c>
    </row>
    <row r="10" spans="2:12" x14ac:dyDescent="0.3">
      <c r="B10" s="9"/>
      <c r="C10" s="9"/>
      <c r="D10" s="3" t="s">
        <v>21</v>
      </c>
      <c r="E10" s="3" t="s">
        <v>74</v>
      </c>
      <c r="F10" s="3">
        <v>4</v>
      </c>
      <c r="G10" s="3" t="s">
        <v>22</v>
      </c>
      <c r="I10">
        <f t="shared" ref="I10:J12" si="1">F15</f>
        <v>150</v>
      </c>
      <c r="J10" t="str">
        <f t="shared" si="1"/>
        <v>g</v>
      </c>
      <c r="K10">
        <f t="shared" si="0"/>
        <v>0.15</v>
      </c>
      <c r="L10" t="s">
        <v>0</v>
      </c>
    </row>
    <row r="11" spans="2:12" x14ac:dyDescent="0.3">
      <c r="B11" s="9"/>
      <c r="C11" s="9"/>
      <c r="D11" s="5" t="s">
        <v>41</v>
      </c>
      <c r="E11" s="5"/>
      <c r="F11" s="5">
        <v>1</v>
      </c>
      <c r="G11" s="5" t="s">
        <v>7</v>
      </c>
      <c r="I11">
        <f t="shared" si="1"/>
        <v>20</v>
      </c>
      <c r="J11" t="str">
        <f t="shared" si="1"/>
        <v>g</v>
      </c>
      <c r="K11">
        <f t="shared" si="0"/>
        <v>0.02</v>
      </c>
      <c r="L11" t="s">
        <v>0</v>
      </c>
    </row>
    <row r="12" spans="2:12" x14ac:dyDescent="0.3">
      <c r="B12" s="9"/>
      <c r="C12" s="9" t="s">
        <v>23</v>
      </c>
      <c r="D12" s="3" t="s">
        <v>24</v>
      </c>
      <c r="E12" s="3" t="s">
        <v>75</v>
      </c>
      <c r="F12" s="3">
        <v>105</v>
      </c>
      <c r="G12" s="3" t="s">
        <v>5</v>
      </c>
      <c r="I12">
        <f t="shared" si="1"/>
        <v>20</v>
      </c>
      <c r="J12" t="str">
        <f t="shared" si="1"/>
        <v>g</v>
      </c>
      <c r="K12">
        <f t="shared" si="0"/>
        <v>0.02</v>
      </c>
      <c r="L12" t="s">
        <v>0</v>
      </c>
    </row>
    <row r="13" spans="2:12" x14ac:dyDescent="0.3">
      <c r="B13" s="9"/>
      <c r="C13" s="9"/>
      <c r="D13" s="3" t="s">
        <v>25</v>
      </c>
      <c r="E13" s="3" t="s">
        <v>76</v>
      </c>
      <c r="F13" s="3">
        <v>60</v>
      </c>
      <c r="G13" s="3" t="s">
        <v>5</v>
      </c>
      <c r="I13">
        <f t="shared" ref="I13:J15" si="2">F19</f>
        <v>10</v>
      </c>
      <c r="J13" t="str">
        <f t="shared" si="2"/>
        <v>g</v>
      </c>
      <c r="K13">
        <f t="shared" si="0"/>
        <v>0.01</v>
      </c>
      <c r="L13" t="s">
        <v>0</v>
      </c>
    </row>
    <row r="14" spans="2:12" x14ac:dyDescent="0.3">
      <c r="B14" s="9"/>
      <c r="C14" s="9"/>
      <c r="D14" s="5" t="s">
        <v>42</v>
      </c>
      <c r="E14" s="5"/>
      <c r="F14" s="5">
        <v>1</v>
      </c>
      <c r="G14" s="5" t="s">
        <v>7</v>
      </c>
      <c r="I14">
        <f t="shared" si="2"/>
        <v>300</v>
      </c>
      <c r="J14" t="str">
        <f t="shared" si="2"/>
        <v>g</v>
      </c>
      <c r="K14">
        <f t="shared" si="0"/>
        <v>0.3</v>
      </c>
      <c r="L14" t="s">
        <v>0</v>
      </c>
    </row>
    <row r="15" spans="2:12" x14ac:dyDescent="0.3">
      <c r="B15" s="9"/>
      <c r="C15" s="9" t="s">
        <v>26</v>
      </c>
      <c r="D15" s="3" t="s">
        <v>28</v>
      </c>
      <c r="E15" s="3" t="s">
        <v>77</v>
      </c>
      <c r="F15" s="3">
        <v>150</v>
      </c>
      <c r="G15" s="3" t="s">
        <v>5</v>
      </c>
      <c r="I15">
        <f t="shared" si="2"/>
        <v>40</v>
      </c>
      <c r="J15" t="str">
        <f t="shared" si="2"/>
        <v>g</v>
      </c>
      <c r="K15">
        <f t="shared" si="0"/>
        <v>0.04</v>
      </c>
      <c r="L15" t="s">
        <v>0</v>
      </c>
    </row>
    <row r="16" spans="2:12" x14ac:dyDescent="0.3">
      <c r="B16" s="9"/>
      <c r="C16" s="9"/>
      <c r="D16" s="3" t="s">
        <v>27</v>
      </c>
      <c r="E16" s="3" t="s">
        <v>78</v>
      </c>
      <c r="F16" s="3">
        <v>20</v>
      </c>
      <c r="G16" s="3" t="s">
        <v>5</v>
      </c>
    </row>
    <row r="17" spans="2:13" x14ac:dyDescent="0.3">
      <c r="B17" s="9"/>
      <c r="C17" s="9"/>
      <c r="D17" s="3" t="s">
        <v>24</v>
      </c>
      <c r="E17" s="3" t="s">
        <v>75</v>
      </c>
      <c r="F17" s="3">
        <v>20</v>
      </c>
      <c r="G17" s="3" t="s">
        <v>5</v>
      </c>
      <c r="J17" s="6" t="s">
        <v>49</v>
      </c>
      <c r="K17" s="6">
        <f>SUM(K4:K15)</f>
        <v>2.3449999999999998</v>
      </c>
      <c r="L17" s="6" t="s">
        <v>0</v>
      </c>
    </row>
    <row r="18" spans="2:13" x14ac:dyDescent="0.3">
      <c r="B18" s="9"/>
      <c r="C18" s="9"/>
      <c r="D18" s="5" t="s">
        <v>43</v>
      </c>
      <c r="E18" s="5"/>
      <c r="F18" s="5">
        <v>1</v>
      </c>
      <c r="G18" s="5" t="s">
        <v>7</v>
      </c>
      <c r="J18" s="6"/>
      <c r="K18" s="6">
        <f>K17/1000</f>
        <v>2.3449999999999999E-3</v>
      </c>
      <c r="L18" s="6" t="s">
        <v>33</v>
      </c>
    </row>
    <row r="19" spans="2:13" x14ac:dyDescent="0.3">
      <c r="B19" s="9"/>
      <c r="C19" s="9" t="s">
        <v>44</v>
      </c>
      <c r="D19" s="3" t="s">
        <v>12</v>
      </c>
      <c r="E19" s="3" t="s">
        <v>79</v>
      </c>
      <c r="F19" s="3">
        <v>10</v>
      </c>
      <c r="G19" s="3" t="s">
        <v>5</v>
      </c>
      <c r="K19" s="6"/>
    </row>
    <row r="20" spans="2:13" x14ac:dyDescent="0.3">
      <c r="B20" s="9"/>
      <c r="C20" s="9"/>
      <c r="D20" s="3" t="s">
        <v>30</v>
      </c>
      <c r="E20" s="3" t="s">
        <v>80</v>
      </c>
      <c r="F20" s="3">
        <v>300</v>
      </c>
      <c r="G20" s="3" t="s">
        <v>5</v>
      </c>
    </row>
    <row r="21" spans="2:13" x14ac:dyDescent="0.3">
      <c r="B21" s="9"/>
      <c r="C21" s="9"/>
      <c r="D21" s="3" t="s">
        <v>29</v>
      </c>
      <c r="E21" s="3" t="s">
        <v>81</v>
      </c>
      <c r="F21" s="3">
        <v>40</v>
      </c>
      <c r="G21" s="3" t="s">
        <v>5</v>
      </c>
    </row>
    <row r="22" spans="2:13" x14ac:dyDescent="0.3">
      <c r="B22" s="9"/>
      <c r="C22" s="9"/>
      <c r="D22" s="5" t="s">
        <v>45</v>
      </c>
      <c r="E22" s="5"/>
      <c r="F22" s="5">
        <v>1</v>
      </c>
      <c r="G22" s="5" t="s">
        <v>7</v>
      </c>
    </row>
    <row r="23" spans="2:13" x14ac:dyDescent="0.3">
      <c r="B23" s="9"/>
      <c r="C23" s="9" t="s">
        <v>31</v>
      </c>
      <c r="D23" s="3" t="s">
        <v>9</v>
      </c>
      <c r="E23" s="3" t="s">
        <v>82</v>
      </c>
      <c r="F23" s="3" t="s">
        <v>50</v>
      </c>
      <c r="G23" s="3" t="s">
        <v>10</v>
      </c>
    </row>
    <row r="24" spans="2:13" x14ac:dyDescent="0.3">
      <c r="B24" s="9"/>
      <c r="C24" s="9"/>
      <c r="D24" s="5" t="s">
        <v>46</v>
      </c>
      <c r="E24" s="5"/>
      <c r="F24" s="5">
        <v>1</v>
      </c>
      <c r="G24" s="5" t="s">
        <v>7</v>
      </c>
      <c r="I24" s="8" t="s">
        <v>60</v>
      </c>
      <c r="K24" s="7" t="s">
        <v>56</v>
      </c>
      <c r="M24" s="7" t="s">
        <v>59</v>
      </c>
    </row>
    <row r="25" spans="2:13" x14ac:dyDescent="0.3">
      <c r="B25" s="9"/>
      <c r="C25" s="9" t="s">
        <v>34</v>
      </c>
      <c r="D25" s="3" t="s">
        <v>40</v>
      </c>
      <c r="E25" s="3" t="s">
        <v>15</v>
      </c>
      <c r="F25" s="3">
        <v>1</v>
      </c>
      <c r="G25" s="3" t="s">
        <v>7</v>
      </c>
    </row>
    <row r="26" spans="2:13" x14ac:dyDescent="0.3">
      <c r="B26" s="9"/>
      <c r="C26" s="9"/>
      <c r="D26" s="3" t="s">
        <v>41</v>
      </c>
      <c r="E26" s="3" t="s">
        <v>19</v>
      </c>
      <c r="F26" s="3">
        <v>1</v>
      </c>
      <c r="G26" s="3" t="s">
        <v>7</v>
      </c>
      <c r="I26" t="s">
        <v>36</v>
      </c>
      <c r="J26">
        <v>1000</v>
      </c>
      <c r="K26" t="s">
        <v>37</v>
      </c>
    </row>
    <row r="27" spans="2:13" x14ac:dyDescent="0.3">
      <c r="B27" s="9"/>
      <c r="C27" s="9"/>
      <c r="D27" s="3" t="s">
        <v>42</v>
      </c>
      <c r="E27" s="3" t="s">
        <v>23</v>
      </c>
      <c r="F27" s="3">
        <v>1</v>
      </c>
      <c r="G27" s="3" t="s">
        <v>7</v>
      </c>
      <c r="I27" t="s">
        <v>38</v>
      </c>
      <c r="J27">
        <f>2*365*5</f>
        <v>3650</v>
      </c>
    </row>
    <row r="28" spans="2:13" x14ac:dyDescent="0.3">
      <c r="B28" s="9"/>
      <c r="C28" s="9"/>
      <c r="D28" s="3" t="s">
        <v>43</v>
      </c>
      <c r="E28" s="3" t="s">
        <v>26</v>
      </c>
      <c r="F28" s="3">
        <v>1</v>
      </c>
      <c r="G28" s="3" t="s">
        <v>7</v>
      </c>
      <c r="I28" t="s">
        <v>52</v>
      </c>
      <c r="J28">
        <v>0.5</v>
      </c>
    </row>
    <row r="29" spans="2:13" x14ac:dyDescent="0.3">
      <c r="B29" s="9"/>
      <c r="C29" s="9"/>
      <c r="D29" s="3" t="s">
        <v>45</v>
      </c>
      <c r="E29" s="3" t="s">
        <v>44</v>
      </c>
      <c r="F29" s="3">
        <v>1</v>
      </c>
      <c r="G29" s="3" t="s">
        <v>7</v>
      </c>
      <c r="I29" t="s">
        <v>53</v>
      </c>
      <c r="J29">
        <f>J27*J28</f>
        <v>1825</v>
      </c>
      <c r="K29" t="s">
        <v>58</v>
      </c>
    </row>
    <row r="30" spans="2:13" x14ac:dyDescent="0.3">
      <c r="B30" s="9"/>
      <c r="C30" s="9"/>
      <c r="D30" s="3" t="s">
        <v>46</v>
      </c>
      <c r="E30" s="3" t="s">
        <v>31</v>
      </c>
      <c r="F30" s="3">
        <v>1</v>
      </c>
      <c r="G30" s="3" t="s">
        <v>7</v>
      </c>
      <c r="I30" t="s">
        <v>54</v>
      </c>
      <c r="J30">
        <f>J26/2</f>
        <v>500</v>
      </c>
      <c r="K30" t="s">
        <v>55</v>
      </c>
    </row>
    <row r="31" spans="2:13" x14ac:dyDescent="0.3">
      <c r="B31" s="9"/>
      <c r="C31" s="9"/>
      <c r="D31" s="5" t="s">
        <v>51</v>
      </c>
      <c r="E31" s="5"/>
      <c r="F31" s="5">
        <v>1</v>
      </c>
      <c r="G31" s="5" t="s">
        <v>7</v>
      </c>
      <c r="I31" t="s">
        <v>39</v>
      </c>
      <c r="J31">
        <f>J30*J29</f>
        <v>912500</v>
      </c>
      <c r="K31" t="s">
        <v>57</v>
      </c>
    </row>
    <row r="32" spans="2:13" x14ac:dyDescent="0.3">
      <c r="B32" s="9"/>
      <c r="C32" s="9" t="s">
        <v>11</v>
      </c>
      <c r="D32" s="3" t="s">
        <v>51</v>
      </c>
      <c r="E32" s="3" t="s">
        <v>34</v>
      </c>
      <c r="F32" s="3">
        <v>1</v>
      </c>
      <c r="G32" s="3" t="s">
        <v>7</v>
      </c>
      <c r="J32">
        <f>J31*0.0036</f>
        <v>3285</v>
      </c>
      <c r="K32" t="s">
        <v>22</v>
      </c>
    </row>
    <row r="33" spans="2:14" x14ac:dyDescent="0.3">
      <c r="B33" s="9"/>
      <c r="C33" s="9"/>
      <c r="D33" s="3" t="s">
        <v>35</v>
      </c>
      <c r="E33" s="3" t="s">
        <v>83</v>
      </c>
      <c r="F33" s="3">
        <f>J32</f>
        <v>3285</v>
      </c>
      <c r="G33" s="3" t="s">
        <v>22</v>
      </c>
    </row>
    <row r="34" spans="2:14" x14ac:dyDescent="0.3">
      <c r="B34" s="9"/>
      <c r="C34" s="9"/>
      <c r="D34" s="3" t="s">
        <v>29</v>
      </c>
      <c r="E34" s="3" t="s">
        <v>81</v>
      </c>
      <c r="F34" s="3">
        <f>J40</f>
        <v>7.3</v>
      </c>
      <c r="G34" s="3" t="s">
        <v>0</v>
      </c>
    </row>
    <row r="35" spans="2:14" x14ac:dyDescent="0.3">
      <c r="B35" s="9"/>
      <c r="C35" s="9"/>
      <c r="D35" s="3" t="s">
        <v>8</v>
      </c>
      <c r="E35" s="3" t="s">
        <v>84</v>
      </c>
      <c r="F35" s="3">
        <f>M39</f>
        <v>5475</v>
      </c>
      <c r="G35" s="3" t="s">
        <v>0</v>
      </c>
      <c r="I35" s="8" t="s">
        <v>61</v>
      </c>
      <c r="L35" s="8" t="s">
        <v>64</v>
      </c>
    </row>
    <row r="36" spans="2:14" x14ac:dyDescent="0.3">
      <c r="B36" s="9"/>
      <c r="C36" s="9"/>
      <c r="D36" s="5" t="s">
        <v>65</v>
      </c>
      <c r="E36" s="5"/>
      <c r="F36" s="5">
        <v>1</v>
      </c>
      <c r="G36" s="5" t="s">
        <v>7</v>
      </c>
      <c r="I36" t="s">
        <v>38</v>
      </c>
      <c r="J36">
        <f>J27</f>
        <v>3650</v>
      </c>
      <c r="L36" t="s">
        <v>38</v>
      </c>
      <c r="M36">
        <f>J27</f>
        <v>3650</v>
      </c>
    </row>
    <row r="37" spans="2:14" x14ac:dyDescent="0.3">
      <c r="B37" s="9"/>
      <c r="C37" s="9" t="s">
        <v>66</v>
      </c>
      <c r="D37" s="3" t="s">
        <v>65</v>
      </c>
      <c r="E37" s="3" t="s">
        <v>11</v>
      </c>
      <c r="F37" s="3">
        <v>1</v>
      </c>
      <c r="G37" s="3" t="s">
        <v>7</v>
      </c>
      <c r="I37" t="s">
        <v>62</v>
      </c>
      <c r="J37">
        <v>2</v>
      </c>
      <c r="K37" t="s">
        <v>5</v>
      </c>
      <c r="L37" t="s">
        <v>62</v>
      </c>
      <c r="M37">
        <v>1.5</v>
      </c>
      <c r="N37" t="s">
        <v>0</v>
      </c>
    </row>
    <row r="38" spans="2:14" x14ac:dyDescent="0.3">
      <c r="B38" s="9"/>
      <c r="C38" s="9"/>
      <c r="D38" s="3" t="s">
        <v>86</v>
      </c>
      <c r="E38" s="3" t="s">
        <v>85</v>
      </c>
      <c r="F38" s="3">
        <f>F8</f>
        <v>0.4</v>
      </c>
      <c r="G38" s="3" t="s">
        <v>0</v>
      </c>
    </row>
    <row r="39" spans="2:14" x14ac:dyDescent="0.3">
      <c r="B39" s="9"/>
      <c r="C39" s="9"/>
      <c r="D39" s="3" t="s">
        <v>68</v>
      </c>
      <c r="E39" s="3" t="s">
        <v>87</v>
      </c>
      <c r="F39" s="3">
        <f>SUM(F3,F9)</f>
        <v>1.1399999999999999</v>
      </c>
      <c r="G39" s="3" t="s">
        <v>0</v>
      </c>
      <c r="I39" s="4" t="s">
        <v>63</v>
      </c>
      <c r="J39" s="4">
        <f>J36*J37</f>
        <v>7300</v>
      </c>
      <c r="K39" s="4" t="s">
        <v>5</v>
      </c>
      <c r="L39" s="4" t="s">
        <v>63</v>
      </c>
      <c r="M39" s="4">
        <f>M36*M37</f>
        <v>5475</v>
      </c>
      <c r="N39" s="4" t="s">
        <v>0</v>
      </c>
    </row>
    <row r="40" spans="2:14" x14ac:dyDescent="0.3">
      <c r="B40" s="9"/>
      <c r="C40" s="9"/>
      <c r="D40" s="3" t="s">
        <v>89</v>
      </c>
      <c r="E40" s="3" t="s">
        <v>88</v>
      </c>
      <c r="F40" s="3">
        <f>F34+(F21/1000)</f>
        <v>7.34</v>
      </c>
      <c r="G40" s="3" t="s">
        <v>0</v>
      </c>
      <c r="I40" s="4"/>
      <c r="J40" s="4">
        <v>7.3</v>
      </c>
      <c r="K40" s="4" t="s">
        <v>0</v>
      </c>
    </row>
    <row r="41" spans="2:14" x14ac:dyDescent="0.3">
      <c r="B41" s="9"/>
      <c r="C41" s="9"/>
      <c r="D41" s="5" t="s">
        <v>67</v>
      </c>
      <c r="E41" s="5"/>
      <c r="F41" s="5">
        <v>1</v>
      </c>
      <c r="G41" s="5" t="s">
        <v>7</v>
      </c>
    </row>
  </sheetData>
  <mergeCells count="10">
    <mergeCell ref="B3:B41"/>
    <mergeCell ref="C37:C41"/>
    <mergeCell ref="C19:C22"/>
    <mergeCell ref="C23:C24"/>
    <mergeCell ref="C25:C31"/>
    <mergeCell ref="C32:C36"/>
    <mergeCell ref="C3:C7"/>
    <mergeCell ref="C8:C11"/>
    <mergeCell ref="C12:C14"/>
    <mergeCell ref="C15:C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LCI_cafetera_curso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César Camou</cp:lastModifiedBy>
  <dcterms:created xsi:type="dcterms:W3CDTF">2022-07-13T22:33:18Z</dcterms:created>
  <dcterms:modified xsi:type="dcterms:W3CDTF">2023-10-21T00:08:44Z</dcterms:modified>
</cp:coreProperties>
</file>